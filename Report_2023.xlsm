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雲科碩士\碩士課程\VBA辦公室自動化\Report_2023\"/>
    </mc:Choice>
  </mc:AlternateContent>
  <xr:revisionPtr revIDLastSave="0" documentId="13_ncr:1_{F6EC9D07-9D4C-4485-93D7-6CFD1214E87D}" xr6:coauthVersionLast="47" xr6:coauthVersionMax="47" xr10:uidLastSave="{00000000-0000-0000-0000-000000000000}"/>
  <bookViews>
    <workbookView xWindow="2208" yWindow="288" windowWidth="19092" windowHeight="11964" xr2:uid="{AC1E722B-CF1E-42B0-86FB-C9BF014E2180}"/>
  </bookViews>
  <sheets>
    <sheet name="Mark_Final" sheetId="1" r:id="rId1"/>
    <sheet name="Mark" sheetId="2" r:id="rId2"/>
    <sheet name="Packing_List" sheetId="3" r:id="rId3"/>
    <sheet name="Packing_List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4" l="1"/>
  <c r="B20" i="4" s="1"/>
  <c r="B21" i="4" s="1"/>
  <c r="B22" i="4" s="1"/>
  <c r="B5" i="4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4" i="4"/>
</calcChain>
</file>

<file path=xl/sharedStrings.xml><?xml version="1.0" encoding="utf-8"?>
<sst xmlns="http://schemas.openxmlformats.org/spreadsheetml/2006/main" count="156" uniqueCount="88">
  <si>
    <t>MADE IN TAIWAN</t>
    <phoneticPr fontId="6" type="noConversion"/>
  </si>
  <si>
    <t>PO#</t>
  </si>
  <si>
    <t>PART#</t>
    <phoneticPr fontId="6" type="noConversion"/>
  </si>
  <si>
    <t>RM8299</t>
    <phoneticPr fontId="6" type="noConversion"/>
  </si>
  <si>
    <t>QTY</t>
    <phoneticPr fontId="6" type="noConversion"/>
  </si>
  <si>
    <t>10PCS/BOX</t>
    <phoneticPr fontId="6" type="noConversion"/>
  </si>
  <si>
    <t>C/NO.</t>
    <phoneticPr fontId="6" type="noConversion"/>
  </si>
  <si>
    <t>1）品名出現紅色，表示這個料號對照表找不到，請更新對照表！
2）此packing預設處理100項
3）儲存格皆已鎖定，以避免錯誤。若要更改密碼為alexrim
4）E10系統未交明細資料請依固定表頭順序：預交貨日、客戶單號、客戶品號、訂單單號、序、客戶、品名、規格、訂單量、未交量…
5）QBP對照表資料請依固定表頭順序：客戶品號、品名、規格、毛重、淨重、材積、每箱數量</t>
    <phoneticPr fontId="6" type="noConversion"/>
  </si>
  <si>
    <t>項次</t>
    <phoneticPr fontId="6" type="noConversion"/>
  </si>
  <si>
    <t>客戶單號</t>
    <phoneticPr fontId="6" type="noConversion"/>
  </si>
  <si>
    <t>客戶品號</t>
    <phoneticPr fontId="6" type="noConversion"/>
  </si>
  <si>
    <t>出貨數量</t>
    <phoneticPr fontId="6" type="noConversion"/>
  </si>
  <si>
    <t>箱號從</t>
    <phoneticPr fontId="6" type="noConversion"/>
  </si>
  <si>
    <t>箱號至</t>
    <phoneticPr fontId="6" type="noConversion"/>
  </si>
  <si>
    <t>品名</t>
    <phoneticPr fontId="6" type="noConversion"/>
  </si>
  <si>
    <t>規格</t>
    <phoneticPr fontId="6" type="noConversion"/>
  </si>
  <si>
    <t>毛重</t>
    <phoneticPr fontId="6" type="noConversion"/>
  </si>
  <si>
    <t>淨重</t>
    <phoneticPr fontId="6" type="noConversion"/>
  </si>
  <si>
    <t>材積</t>
    <phoneticPr fontId="6" type="noConversion"/>
  </si>
  <si>
    <t>每箱數量</t>
    <phoneticPr fontId="6" type="noConversion"/>
  </si>
  <si>
    <t>4089444</t>
  </si>
  <si>
    <t>RM7573</t>
    <phoneticPr fontId="6" type="noConversion"/>
  </si>
  <si>
    <t>4090652</t>
  </si>
  <si>
    <t>RM0041W</t>
    <phoneticPr fontId="6" type="noConversion"/>
  </si>
  <si>
    <t>RM0070</t>
  </si>
  <si>
    <t>RM0071</t>
  </si>
  <si>
    <t>RM0072</t>
  </si>
  <si>
    <t>RM0073</t>
  </si>
  <si>
    <t>RM0132W</t>
    <phoneticPr fontId="6" type="noConversion"/>
  </si>
  <si>
    <t>RM7571</t>
  </si>
  <si>
    <t>RM7576</t>
  </si>
  <si>
    <t>RM7583</t>
  </si>
  <si>
    <t>14GX36H_A/V+氣嘴轉換器_ALEX19-1</t>
  </si>
  <si>
    <t>RM7583W</t>
    <phoneticPr fontId="6" type="noConversion"/>
  </si>
  <si>
    <t>RM7621</t>
    <phoneticPr fontId="6" type="noConversion"/>
  </si>
  <si>
    <t>RM7622</t>
    <phoneticPr fontId="6" type="noConversion"/>
  </si>
  <si>
    <t>RM7624</t>
    <phoneticPr fontId="6" type="noConversion"/>
  </si>
  <si>
    <t>RM7625</t>
    <phoneticPr fontId="6" type="noConversion"/>
  </si>
  <si>
    <t>Quality Bl-----ton,TK</t>
    <phoneticPr fontId="6" type="noConversion"/>
  </si>
  <si>
    <t>Y2000_-_----_SIL</t>
    <phoneticPr fontId="1" type="noConversion"/>
  </si>
  <si>
    <t>A---1_6---_BK</t>
    <phoneticPr fontId="1" type="noConversion"/>
  </si>
  <si>
    <t>A----0_7---_BK</t>
    <phoneticPr fontId="1" type="noConversion"/>
  </si>
  <si>
    <t>M---_700C_BK</t>
    <phoneticPr fontId="1" type="noConversion"/>
  </si>
  <si>
    <t>A---1_----_BK</t>
    <phoneticPr fontId="1" type="noConversion"/>
  </si>
  <si>
    <t>D---_S_----_BK</t>
    <phoneticPr fontId="1" type="noConversion"/>
  </si>
  <si>
    <t>D---_S_----_SIL</t>
    <phoneticPr fontId="1" type="noConversion"/>
  </si>
  <si>
    <t>D---_S_-6''_BK</t>
    <phoneticPr fontId="1" type="noConversion"/>
  </si>
  <si>
    <t>A----_--"_BK</t>
    <phoneticPr fontId="1" type="noConversion"/>
  </si>
  <si>
    <t>A----_7---_BK</t>
    <phoneticPr fontId="1" type="noConversion"/>
  </si>
  <si>
    <t>A-----_7---_BK</t>
    <phoneticPr fontId="1" type="noConversion"/>
  </si>
  <si>
    <t>A---_2-"_BK</t>
    <phoneticPr fontId="1" type="noConversion"/>
  </si>
  <si>
    <t>D---_S_2-''_BK</t>
    <phoneticPr fontId="1" type="noConversion"/>
  </si>
  <si>
    <t>14G-----_A/V_AL-X</t>
    <phoneticPr fontId="1" type="noConversion"/>
  </si>
  <si>
    <t>14G----_F/V_SSE_A--X17-1</t>
    <phoneticPr fontId="1" type="noConversion"/>
  </si>
  <si>
    <t>14G----_F/V_AL--19-1</t>
    <phoneticPr fontId="1" type="noConversion"/>
  </si>
  <si>
    <t>14-----_F/V_SSE_A---18-1</t>
    <phoneticPr fontId="1" type="noConversion"/>
  </si>
  <si>
    <t>14G-----_F/V_SSE_A---18-1</t>
    <phoneticPr fontId="1" type="noConversion"/>
  </si>
  <si>
    <t>14G----_F/V_SSE_A---17-1</t>
    <phoneticPr fontId="1" type="noConversion"/>
  </si>
  <si>
    <t>14----H_F/V_CSW_A---8-1</t>
    <phoneticPr fontId="1" type="noConversion"/>
  </si>
  <si>
    <t>14G----_F/V_CSW_AL---8-1</t>
    <phoneticPr fontId="1" type="noConversion"/>
  </si>
  <si>
    <t>14------_A/V+氣嘴轉換器_----19-1</t>
    <phoneticPr fontId="1" type="noConversion"/>
  </si>
  <si>
    <t>14-----_F/V_CSW_SSE_AL---7-1</t>
    <phoneticPr fontId="1" type="noConversion"/>
  </si>
  <si>
    <t>14-----_F/V_CSW_SSE_A------1</t>
    <phoneticPr fontId="1" type="noConversion"/>
  </si>
  <si>
    <t>14----2H_F/V_SSE_A-------1</t>
    <phoneticPr fontId="1" type="noConversion"/>
  </si>
  <si>
    <t>14----H_F/V_SSE_ALEX17-1</t>
    <phoneticPr fontId="1" type="noConversion"/>
  </si>
  <si>
    <t>14-----H_F/V_AL--灰'13</t>
    <phoneticPr fontId="1" type="noConversion"/>
  </si>
  <si>
    <t>RM7653</t>
    <phoneticPr fontId="6" type="noConversion"/>
  </si>
  <si>
    <t>RM7891W</t>
    <phoneticPr fontId="6" type="noConversion"/>
  </si>
  <si>
    <t>RM0078</t>
    <phoneticPr fontId="1" type="noConversion"/>
  </si>
  <si>
    <t>RM0076</t>
    <phoneticPr fontId="1" type="noConversion"/>
  </si>
  <si>
    <t>RM0014</t>
    <phoneticPr fontId="1" type="noConversion"/>
  </si>
  <si>
    <t>RM0074</t>
    <phoneticPr fontId="1" type="noConversion"/>
  </si>
  <si>
    <t>RM0132X</t>
    <phoneticPr fontId="6" type="noConversion"/>
  </si>
  <si>
    <t>RM76564</t>
    <phoneticPr fontId="1" type="noConversion"/>
  </si>
  <si>
    <t>RM6565</t>
    <phoneticPr fontId="1" type="noConversion"/>
  </si>
  <si>
    <t>RM7576</t>
    <phoneticPr fontId="1" type="noConversion"/>
  </si>
  <si>
    <t>RM7733W</t>
    <phoneticPr fontId="6" type="noConversion"/>
  </si>
  <si>
    <t>RM7678</t>
    <phoneticPr fontId="6" type="noConversion"/>
  </si>
  <si>
    <t>RM7612</t>
    <phoneticPr fontId="6" type="noConversion"/>
  </si>
  <si>
    <t>RM7676</t>
    <phoneticPr fontId="6" type="noConversion"/>
  </si>
  <si>
    <t>RM7671</t>
    <phoneticPr fontId="6" type="noConversion"/>
  </si>
  <si>
    <t>RM9765</t>
    <phoneticPr fontId="6" type="noConversion"/>
  </si>
  <si>
    <t>*RM8299*</t>
    <phoneticPr fontId="6" type="noConversion"/>
  </si>
  <si>
    <t>*43594230105*</t>
    <phoneticPr fontId="6" type="noConversion"/>
  </si>
  <si>
    <t>*43594230106*</t>
    <phoneticPr fontId="6" type="noConversion"/>
  </si>
  <si>
    <t>14G----_A/V+氣嘴轉換器_-1</t>
    <phoneticPr fontId="1" type="noConversion"/>
  </si>
  <si>
    <t>14------_A/V+氣嘴轉換器_---1</t>
    <phoneticPr fontId="1" type="noConversion"/>
  </si>
  <si>
    <t>14---_A/V+氣嘴轉換器_ALEX19-1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</si>
</sst>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8"/>
      <name val="Tahoma"/>
      <family val="2"/>
    </font>
    <font>
      <b/>
      <sz val="12"/>
      <name val="新細明體"/>
      <family val="1"/>
      <charset val="136"/>
    </font>
    <font>
      <b/>
      <sz val="10"/>
      <color indexed="8"/>
      <name val="Tahoma"/>
      <family val="2"/>
    </font>
    <font>
      <b/>
      <sz val="20"/>
      <color theme="1"/>
      <name val="Tahoma"/>
      <family val="2"/>
    </font>
    <font>
      <sz val="9"/>
      <name val="新細明體"/>
      <family val="1"/>
      <charset val="136"/>
    </font>
    <font>
      <b/>
      <sz val="14"/>
      <color theme="1"/>
      <name val="Tahoma"/>
      <family val="2"/>
    </font>
    <font>
      <b/>
      <sz val="20"/>
      <color theme="1"/>
      <name val="新細明體"/>
      <family val="1"/>
      <charset val="136"/>
    </font>
    <font>
      <b/>
      <sz val="12"/>
      <name val="Times New Roman"/>
      <family val="1"/>
    </font>
    <font>
      <sz val="12"/>
      <color theme="9" tint="-0.249977111117893"/>
      <name val="3 of 9 Barcode"/>
    </font>
    <font>
      <b/>
      <sz val="12"/>
      <color theme="9" tint="-0.249977111117893"/>
      <name val="新細明體"/>
      <family val="1"/>
      <charset val="136"/>
    </font>
    <font>
      <b/>
      <sz val="12"/>
      <color theme="9" tint="-0.249977111117893"/>
      <name val="Times New Roman"/>
      <family val="1"/>
    </font>
    <font>
      <sz val="12"/>
      <color theme="5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12"/>
      <color theme="1"/>
      <name val="Times New Roman"/>
      <family val="1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2" fillId="0" borderId="0" xfId="0" applyFont="1" applyAlignment="1"/>
    <xf numFmtId="0" fontId="3" fillId="0" borderId="0" xfId="0" applyFont="1" applyAlignment="1"/>
    <xf numFmtId="0" fontId="4" fillId="0" borderId="1" xfId="0" applyFont="1" applyBorder="1" applyAlignment="1">
      <alignment horizontal="center" vertical="center"/>
    </xf>
    <xf numFmtId="0" fontId="0" fillId="0" borderId="0" xfId="0" applyAlignment="1"/>
    <xf numFmtId="0" fontId="0" fillId="2" borderId="1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0" fontId="15" fillId="0" borderId="0" xfId="0" applyFont="1">
      <alignment vertical="center"/>
    </xf>
    <xf numFmtId="0" fontId="16" fillId="0" borderId="15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textRotation="180"/>
    </xf>
    <xf numFmtId="0" fontId="4" fillId="0" borderId="5" xfId="0" applyFont="1" applyBorder="1" applyAlignment="1">
      <alignment horizontal="center" vertical="center" textRotation="180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3" fillId="0" borderId="7" xfId="0" applyFont="1" applyBorder="1" applyAlignment="1" applyProtection="1">
      <alignment horizontal="left" vertical="center" wrapText="1"/>
      <protection locked="0"/>
    </xf>
    <xf numFmtId="0" fontId="13" fillId="0" borderId="7" xfId="0" applyFont="1" applyBorder="1" applyAlignment="1" applyProtection="1">
      <alignment horizontal="left" vertical="center"/>
      <protection locked="0"/>
    </xf>
  </cellXfs>
  <cellStyles count="1">
    <cellStyle name="一般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95BB-283E-413E-97EC-418FCA3B33C9}">
  <sheetPr codeName="工作表1"/>
  <dimension ref="A1"/>
  <sheetViews>
    <sheetView tabSelected="1" topLeftCell="A18" workbookViewId="0">
      <selection activeCell="A29" sqref="A1:XFD1048576"/>
    </sheetView>
  </sheetViews>
  <sheetFormatPr defaultRowHeight="15.6"/>
  <cols>
    <col min="1" max="16384" width="8.88671875" style="12"/>
  </cols>
  <sheetData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822F6-0077-493B-8B8C-DDB7BEA05A18}">
  <sheetPr codeName="工作表2"/>
  <dimension ref="A1:Q12"/>
  <sheetViews>
    <sheetView zoomScale="130" zoomScaleNormal="130" workbookViewId="0">
      <selection activeCell="J2" sqref="J2:Q12"/>
    </sheetView>
  </sheetViews>
  <sheetFormatPr defaultColWidth="9" defaultRowHeight="16.2"/>
  <cols>
    <col min="1" max="1" width="7.88671875" style="2" bestFit="1" customWidth="1"/>
    <col min="2" max="2" width="7.109375" style="2" customWidth="1"/>
    <col min="3" max="3" width="7.6640625" style="2" customWidth="1"/>
    <col min="4" max="4" width="9" style="2"/>
    <col min="5" max="5" width="4.44140625" style="2" customWidth="1"/>
    <col min="6" max="6" width="6.44140625" style="2" customWidth="1"/>
    <col min="7" max="7" width="4.88671875" style="2" customWidth="1"/>
    <col min="8" max="8" width="7.109375" style="2" customWidth="1"/>
    <col min="9" max="9" width="3.109375" style="2" customWidth="1"/>
    <col min="10" max="10" width="7.88671875" style="2" bestFit="1" customWidth="1"/>
    <col min="11" max="11" width="7.109375" style="2" customWidth="1"/>
    <col min="12" max="12" width="7.6640625" style="2" customWidth="1"/>
    <col min="13" max="13" width="9" style="2"/>
    <col min="14" max="14" width="4.44140625" style="2" customWidth="1"/>
    <col min="15" max="15" width="6.6640625" style="2" customWidth="1"/>
    <col min="16" max="16" width="4.88671875" style="2" customWidth="1"/>
    <col min="17" max="17" width="7.109375" style="2" customWidth="1"/>
    <col min="18" max="18" width="9" style="2"/>
    <col min="19" max="19" width="7.6640625" style="2" customWidth="1"/>
    <col min="20" max="26" width="8" style="2" customWidth="1"/>
    <col min="27" max="16384" width="9" style="2"/>
  </cols>
  <sheetData>
    <row r="1" spans="1:17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4.6">
      <c r="A2" s="53"/>
      <c r="B2" s="55" t="s">
        <v>38</v>
      </c>
      <c r="C2" s="56"/>
      <c r="D2" s="56"/>
      <c r="E2" s="56"/>
      <c r="F2" s="56"/>
      <c r="G2" s="56"/>
      <c r="H2" s="57"/>
      <c r="J2" s="53"/>
      <c r="K2" s="55" t="s">
        <v>38</v>
      </c>
      <c r="L2" s="56"/>
      <c r="M2" s="56"/>
      <c r="N2" s="56"/>
      <c r="O2" s="56"/>
      <c r="P2" s="56"/>
      <c r="Q2" s="57"/>
    </row>
    <row r="3" spans="1:17">
      <c r="A3" s="54"/>
      <c r="B3" s="58" t="s">
        <v>0</v>
      </c>
      <c r="C3" s="59"/>
      <c r="D3" s="59"/>
      <c r="E3" s="59"/>
      <c r="F3" s="59"/>
      <c r="G3" s="59"/>
      <c r="H3" s="60"/>
      <c r="J3" s="54"/>
      <c r="K3" s="58" t="s">
        <v>0</v>
      </c>
      <c r="L3" s="59"/>
      <c r="M3" s="59"/>
      <c r="N3" s="59"/>
      <c r="O3" s="59"/>
      <c r="P3" s="59"/>
      <c r="Q3" s="60"/>
    </row>
    <row r="4" spans="1:17" ht="17.399999999999999">
      <c r="A4" s="3" t="s">
        <v>1</v>
      </c>
      <c r="B4" s="41">
        <v>4359423</v>
      </c>
      <c r="C4" s="42"/>
      <c r="D4" s="42"/>
      <c r="E4" s="42"/>
      <c r="F4" s="42"/>
      <c r="G4" s="42"/>
      <c r="H4" s="43"/>
      <c r="J4" s="3" t="s">
        <v>1</v>
      </c>
      <c r="K4" s="41">
        <v>4359423</v>
      </c>
      <c r="L4" s="42"/>
      <c r="M4" s="42"/>
      <c r="N4" s="42"/>
      <c r="O4" s="42"/>
      <c r="P4" s="42"/>
      <c r="Q4" s="43"/>
    </row>
    <row r="5" spans="1:17">
      <c r="A5" s="16" t="s">
        <v>2</v>
      </c>
      <c r="B5" s="22" t="s">
        <v>3</v>
      </c>
      <c r="C5" s="23"/>
      <c r="D5" s="24"/>
      <c r="E5" s="44" t="s">
        <v>82</v>
      </c>
      <c r="F5" s="45"/>
      <c r="G5" s="45"/>
      <c r="H5" s="46"/>
      <c r="J5" s="16" t="s">
        <v>2</v>
      </c>
      <c r="K5" s="22" t="s">
        <v>3</v>
      </c>
      <c r="L5" s="23"/>
      <c r="M5" s="24"/>
      <c r="N5" s="44" t="s">
        <v>82</v>
      </c>
      <c r="O5" s="45"/>
      <c r="P5" s="45"/>
      <c r="Q5" s="46"/>
    </row>
    <row r="6" spans="1:17">
      <c r="A6" s="17"/>
      <c r="B6" s="22"/>
      <c r="C6" s="23"/>
      <c r="D6" s="24"/>
      <c r="E6" s="47"/>
      <c r="F6" s="48"/>
      <c r="G6" s="48"/>
      <c r="H6" s="49"/>
      <c r="J6" s="17"/>
      <c r="K6" s="22"/>
      <c r="L6" s="23"/>
      <c r="M6" s="24"/>
      <c r="N6" s="47"/>
      <c r="O6" s="48"/>
      <c r="P6" s="48"/>
      <c r="Q6" s="49"/>
    </row>
    <row r="7" spans="1:17">
      <c r="A7" s="18"/>
      <c r="B7" s="25"/>
      <c r="C7" s="26"/>
      <c r="D7" s="27"/>
      <c r="E7" s="50"/>
      <c r="F7" s="51"/>
      <c r="G7" s="51"/>
      <c r="H7" s="52"/>
      <c r="J7" s="18"/>
      <c r="K7" s="25"/>
      <c r="L7" s="26"/>
      <c r="M7" s="27"/>
      <c r="N7" s="50"/>
      <c r="O7" s="51"/>
      <c r="P7" s="51"/>
      <c r="Q7" s="52"/>
    </row>
    <row r="8" spans="1:17">
      <c r="A8" s="16" t="s">
        <v>4</v>
      </c>
      <c r="B8" s="19" t="s">
        <v>5</v>
      </c>
      <c r="C8" s="20"/>
      <c r="D8" s="21"/>
      <c r="E8" s="28">
        <v>10</v>
      </c>
      <c r="F8" s="29"/>
      <c r="G8" s="29"/>
      <c r="H8" s="30"/>
      <c r="J8" s="16" t="s">
        <v>4</v>
      </c>
      <c r="K8" s="19" t="s">
        <v>5</v>
      </c>
      <c r="L8" s="20"/>
      <c r="M8" s="21"/>
      <c r="N8" s="28">
        <v>10</v>
      </c>
      <c r="O8" s="29"/>
      <c r="P8" s="29"/>
      <c r="Q8" s="30"/>
    </row>
    <row r="9" spans="1:17">
      <c r="A9" s="17"/>
      <c r="B9" s="22"/>
      <c r="C9" s="23"/>
      <c r="D9" s="24"/>
      <c r="E9" s="31"/>
      <c r="F9" s="32"/>
      <c r="G9" s="32"/>
      <c r="H9" s="33"/>
      <c r="J9" s="17"/>
      <c r="K9" s="22"/>
      <c r="L9" s="23"/>
      <c r="M9" s="24"/>
      <c r="N9" s="31"/>
      <c r="O9" s="32"/>
      <c r="P9" s="32"/>
      <c r="Q9" s="33"/>
    </row>
    <row r="10" spans="1:17">
      <c r="A10" s="18"/>
      <c r="B10" s="25"/>
      <c r="C10" s="26"/>
      <c r="D10" s="27"/>
      <c r="E10" s="34"/>
      <c r="F10" s="35"/>
      <c r="G10" s="35"/>
      <c r="H10" s="36"/>
      <c r="J10" s="18"/>
      <c r="K10" s="25"/>
      <c r="L10" s="26"/>
      <c r="M10" s="27"/>
      <c r="N10" s="34"/>
      <c r="O10" s="35"/>
      <c r="P10" s="35"/>
      <c r="Q10" s="36"/>
    </row>
    <row r="11" spans="1:17">
      <c r="A11" s="16" t="s">
        <v>6</v>
      </c>
      <c r="B11" s="37">
        <v>43594230105</v>
      </c>
      <c r="C11" s="38"/>
      <c r="D11" s="38"/>
      <c r="E11" s="15" t="s">
        <v>83</v>
      </c>
      <c r="F11" s="15"/>
      <c r="G11" s="15"/>
      <c r="H11" s="15"/>
      <c r="J11" s="16" t="s">
        <v>6</v>
      </c>
      <c r="K11" s="37">
        <v>43594230106</v>
      </c>
      <c r="L11" s="38"/>
      <c r="M11" s="38"/>
      <c r="N11" s="15" t="s">
        <v>84</v>
      </c>
      <c r="O11" s="15"/>
      <c r="P11" s="15"/>
      <c r="Q11" s="15"/>
    </row>
    <row r="12" spans="1:17">
      <c r="A12" s="18"/>
      <c r="B12" s="39"/>
      <c r="C12" s="40"/>
      <c r="D12" s="40"/>
      <c r="E12" s="15"/>
      <c r="F12" s="15"/>
      <c r="G12" s="15"/>
      <c r="H12" s="15"/>
      <c r="J12" s="18"/>
      <c r="K12" s="39"/>
      <c r="L12" s="40"/>
      <c r="M12" s="40"/>
      <c r="N12" s="15"/>
      <c r="O12" s="15"/>
      <c r="P12" s="15"/>
      <c r="Q12" s="15"/>
    </row>
  </sheetData>
  <mergeCells count="26">
    <mergeCell ref="A2:A3"/>
    <mergeCell ref="B2:H2"/>
    <mergeCell ref="J2:J3"/>
    <mergeCell ref="K2:Q2"/>
    <mergeCell ref="B3:H3"/>
    <mergeCell ref="K3:Q3"/>
    <mergeCell ref="B4:H4"/>
    <mergeCell ref="K4:Q4"/>
    <mergeCell ref="A5:A7"/>
    <mergeCell ref="B5:D7"/>
    <mergeCell ref="E5:H7"/>
    <mergeCell ref="J5:J7"/>
    <mergeCell ref="K5:M7"/>
    <mergeCell ref="N5:Q7"/>
    <mergeCell ref="N11:Q12"/>
    <mergeCell ref="A8:A10"/>
    <mergeCell ref="B8:D10"/>
    <mergeCell ref="E8:H10"/>
    <mergeCell ref="J8:J10"/>
    <mergeCell ref="K8:M10"/>
    <mergeCell ref="N8:Q10"/>
    <mergeCell ref="A11:A12"/>
    <mergeCell ref="B11:D12"/>
    <mergeCell ref="E11:H12"/>
    <mergeCell ref="J11:J12"/>
    <mergeCell ref="K11:M1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3501-F0B4-44F3-AB70-1FE15F32A4FB}">
  <sheetPr codeName="工作表3"/>
  <dimension ref="A1:L18"/>
  <sheetViews>
    <sheetView workbookViewId="0">
      <selection activeCell="C22" sqref="C22"/>
    </sheetView>
  </sheetViews>
  <sheetFormatPr defaultColWidth="11" defaultRowHeight="16.2"/>
  <cols>
    <col min="1" max="6" width="11" style="4"/>
    <col min="7" max="7" width="19.109375" style="4" bestFit="1" customWidth="1"/>
    <col min="8" max="8" width="37" style="4" bestFit="1" customWidth="1"/>
    <col min="9" max="16384" width="11" style="4"/>
  </cols>
  <sheetData>
    <row r="1" spans="1:12">
      <c r="A1" s="61" t="s">
        <v>7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</row>
    <row r="2" spans="1:12">
      <c r="A2" s="5" t="s">
        <v>8</v>
      </c>
      <c r="B2" s="5" t="s">
        <v>9</v>
      </c>
      <c r="C2" s="5" t="s">
        <v>10</v>
      </c>
      <c r="D2" s="5" t="s">
        <v>11</v>
      </c>
      <c r="E2" s="6" t="s">
        <v>12</v>
      </c>
      <c r="F2" s="6" t="s">
        <v>13</v>
      </c>
      <c r="G2" s="7" t="s">
        <v>14</v>
      </c>
      <c r="H2" s="7" t="s">
        <v>15</v>
      </c>
      <c r="I2" s="7" t="s">
        <v>16</v>
      </c>
      <c r="J2" s="7" t="s">
        <v>17</v>
      </c>
      <c r="K2" s="7" t="s">
        <v>18</v>
      </c>
      <c r="L2" s="7" t="s">
        <v>19</v>
      </c>
    </row>
    <row r="3" spans="1:12">
      <c r="A3" s="8">
        <v>1</v>
      </c>
      <c r="B3" s="8" t="s">
        <v>20</v>
      </c>
      <c r="C3" s="9" t="s">
        <v>21</v>
      </c>
      <c r="D3" s="8">
        <v>50</v>
      </c>
      <c r="E3" s="8">
        <v>1</v>
      </c>
      <c r="F3" s="8">
        <v>5</v>
      </c>
      <c r="G3" s="8" t="s">
        <v>39</v>
      </c>
      <c r="H3" s="8" t="s">
        <v>52</v>
      </c>
      <c r="I3" s="8">
        <v>6.3</v>
      </c>
      <c r="J3" s="8">
        <v>6.6</v>
      </c>
      <c r="K3" s="10">
        <v>5</v>
      </c>
      <c r="L3" s="11">
        <v>10</v>
      </c>
    </row>
    <row r="4" spans="1:12">
      <c r="A4" s="8">
        <v>2</v>
      </c>
      <c r="B4" s="8" t="s">
        <v>22</v>
      </c>
      <c r="C4" s="9" t="s">
        <v>23</v>
      </c>
      <c r="D4" s="8">
        <v>225</v>
      </c>
      <c r="E4" s="8">
        <v>6</v>
      </c>
      <c r="F4" s="8">
        <v>28</v>
      </c>
      <c r="G4" s="8" t="s">
        <v>40</v>
      </c>
      <c r="H4" s="8" t="s">
        <v>53</v>
      </c>
      <c r="I4" s="8">
        <v>5.3</v>
      </c>
      <c r="J4" s="8">
        <v>5.6</v>
      </c>
      <c r="K4" s="10">
        <v>3.56</v>
      </c>
      <c r="L4" s="11">
        <v>10</v>
      </c>
    </row>
    <row r="5" spans="1:12">
      <c r="A5" s="8">
        <v>3</v>
      </c>
      <c r="B5" s="8">
        <v>4097522</v>
      </c>
      <c r="C5" s="8" t="s">
        <v>24</v>
      </c>
      <c r="D5" s="8">
        <v>100</v>
      </c>
      <c r="E5" s="8">
        <v>29</v>
      </c>
      <c r="F5" s="8">
        <v>38</v>
      </c>
      <c r="G5" s="8" t="s">
        <v>41</v>
      </c>
      <c r="H5" s="8" t="s">
        <v>54</v>
      </c>
      <c r="I5" s="8">
        <v>4.9000000000000004</v>
      </c>
      <c r="J5" s="8">
        <v>5.2</v>
      </c>
      <c r="K5" s="10">
        <v>3.47</v>
      </c>
      <c r="L5" s="11">
        <v>10</v>
      </c>
    </row>
    <row r="6" spans="1:12">
      <c r="A6" s="8">
        <v>4</v>
      </c>
      <c r="B6" s="8">
        <v>4110652</v>
      </c>
      <c r="C6" s="8" t="s">
        <v>25</v>
      </c>
      <c r="D6" s="8">
        <v>75</v>
      </c>
      <c r="E6" s="8">
        <v>39</v>
      </c>
      <c r="F6" s="8">
        <v>46</v>
      </c>
      <c r="G6" s="8" t="s">
        <v>42</v>
      </c>
      <c r="H6" s="8" t="s">
        <v>55</v>
      </c>
      <c r="I6" s="8">
        <v>5.3</v>
      </c>
      <c r="J6" s="8">
        <v>5.6</v>
      </c>
      <c r="K6" s="10">
        <v>4.34</v>
      </c>
      <c r="L6" s="11">
        <v>10</v>
      </c>
    </row>
    <row r="7" spans="1:12">
      <c r="A7" s="8">
        <v>5</v>
      </c>
      <c r="B7" s="8">
        <v>4112683</v>
      </c>
      <c r="C7" s="8" t="s">
        <v>26</v>
      </c>
      <c r="D7" s="8">
        <v>100</v>
      </c>
      <c r="E7" s="8">
        <v>47</v>
      </c>
      <c r="F7" s="8">
        <v>56</v>
      </c>
      <c r="G7" s="8" t="s">
        <v>42</v>
      </c>
      <c r="H7" s="8" t="s">
        <v>55</v>
      </c>
      <c r="I7" s="8">
        <v>5.45</v>
      </c>
      <c r="J7" s="8">
        <v>5.75</v>
      </c>
      <c r="K7" s="10">
        <v>4.63</v>
      </c>
      <c r="L7" s="11">
        <v>10</v>
      </c>
    </row>
    <row r="8" spans="1:12">
      <c r="A8" s="8">
        <v>6</v>
      </c>
      <c r="B8" s="8">
        <v>4112684</v>
      </c>
      <c r="C8" s="8" t="s">
        <v>27</v>
      </c>
      <c r="D8" s="8">
        <v>50</v>
      </c>
      <c r="E8" s="8">
        <v>57</v>
      </c>
      <c r="F8" s="8">
        <v>61</v>
      </c>
      <c r="G8" s="8" t="s">
        <v>42</v>
      </c>
      <c r="H8" s="8" t="s">
        <v>56</v>
      </c>
      <c r="I8" s="8">
        <v>5</v>
      </c>
      <c r="J8" s="8">
        <v>5.3</v>
      </c>
      <c r="K8" s="10">
        <v>4.05</v>
      </c>
      <c r="L8" s="11">
        <v>10</v>
      </c>
    </row>
    <row r="9" spans="1:12">
      <c r="A9" s="8">
        <v>7</v>
      </c>
      <c r="B9" s="8">
        <v>4112698</v>
      </c>
      <c r="C9" s="9" t="s">
        <v>28</v>
      </c>
      <c r="D9" s="8">
        <v>150</v>
      </c>
      <c r="E9" s="8">
        <v>62</v>
      </c>
      <c r="F9" s="8">
        <v>76</v>
      </c>
      <c r="G9" s="8" t="s">
        <v>43</v>
      </c>
      <c r="H9" s="8" t="s">
        <v>57</v>
      </c>
      <c r="I9" s="8">
        <v>6.2</v>
      </c>
      <c r="J9" s="8">
        <v>6.5</v>
      </c>
      <c r="K9" s="10">
        <v>3.39</v>
      </c>
      <c r="L9" s="11">
        <v>10</v>
      </c>
    </row>
    <row r="10" spans="1:12">
      <c r="A10" s="8">
        <v>8</v>
      </c>
      <c r="B10" s="8">
        <v>4113587</v>
      </c>
      <c r="C10" s="8" t="s">
        <v>29</v>
      </c>
      <c r="D10" s="8">
        <v>30</v>
      </c>
      <c r="E10" s="8">
        <v>77</v>
      </c>
      <c r="F10" s="8">
        <v>79</v>
      </c>
      <c r="G10" s="8" t="s">
        <v>44</v>
      </c>
      <c r="H10" s="8" t="s">
        <v>58</v>
      </c>
      <c r="I10" s="8">
        <v>4.5</v>
      </c>
      <c r="J10" s="8">
        <v>4.8</v>
      </c>
      <c r="K10" s="10">
        <v>3.1</v>
      </c>
      <c r="L10" s="11">
        <v>10</v>
      </c>
    </row>
    <row r="11" spans="1:12">
      <c r="A11" s="8">
        <v>9</v>
      </c>
      <c r="B11" s="8">
        <v>4114902</v>
      </c>
      <c r="C11" s="8" t="s">
        <v>30</v>
      </c>
      <c r="D11" s="8">
        <v>10</v>
      </c>
      <c r="E11" s="8">
        <v>80</v>
      </c>
      <c r="F11" s="8">
        <v>80</v>
      </c>
      <c r="G11" s="8" t="s">
        <v>45</v>
      </c>
      <c r="H11" s="8" t="s">
        <v>59</v>
      </c>
      <c r="I11" s="8">
        <v>4.5</v>
      </c>
      <c r="J11" s="8">
        <v>4.8</v>
      </c>
      <c r="K11" s="10">
        <v>3.1</v>
      </c>
      <c r="L11" s="11">
        <v>10</v>
      </c>
    </row>
    <row r="12" spans="1:12">
      <c r="A12" s="8">
        <v>10</v>
      </c>
      <c r="B12" s="8">
        <v>4125483</v>
      </c>
      <c r="C12" s="8" t="s">
        <v>31</v>
      </c>
      <c r="D12" s="8">
        <v>10</v>
      </c>
      <c r="E12" s="8">
        <v>81</v>
      </c>
      <c r="F12" s="8">
        <v>81</v>
      </c>
      <c r="G12" s="8" t="s">
        <v>46</v>
      </c>
      <c r="H12" s="8" t="s">
        <v>32</v>
      </c>
      <c r="I12" s="8">
        <v>4.7</v>
      </c>
      <c r="J12" s="8">
        <v>5</v>
      </c>
      <c r="K12" s="10">
        <v>2.8</v>
      </c>
      <c r="L12" s="11">
        <v>10</v>
      </c>
    </row>
    <row r="13" spans="1:12">
      <c r="A13" s="8">
        <v>11</v>
      </c>
      <c r="B13" s="8">
        <v>4136224</v>
      </c>
      <c r="C13" s="9" t="s">
        <v>33</v>
      </c>
      <c r="D13" s="8">
        <v>50</v>
      </c>
      <c r="E13" s="8">
        <v>82</v>
      </c>
      <c r="F13" s="8">
        <v>86</v>
      </c>
      <c r="G13" s="8" t="s">
        <v>46</v>
      </c>
      <c r="H13" s="8" t="s">
        <v>60</v>
      </c>
      <c r="I13" s="8">
        <v>4.7</v>
      </c>
      <c r="J13" s="8">
        <v>5</v>
      </c>
      <c r="K13" s="10">
        <v>2.8</v>
      </c>
      <c r="L13" s="11">
        <v>10</v>
      </c>
    </row>
    <row r="14" spans="1:12">
      <c r="A14" s="8">
        <v>12</v>
      </c>
      <c r="B14" s="8">
        <v>4136225</v>
      </c>
      <c r="C14" s="9" t="s">
        <v>34</v>
      </c>
      <c r="D14" s="8">
        <v>30</v>
      </c>
      <c r="E14" s="8">
        <v>87</v>
      </c>
      <c r="F14" s="8">
        <v>89</v>
      </c>
      <c r="G14" s="8" t="s">
        <v>47</v>
      </c>
      <c r="H14" s="8" t="s">
        <v>61</v>
      </c>
      <c r="I14" s="8">
        <v>5</v>
      </c>
      <c r="J14" s="8">
        <v>5.3</v>
      </c>
      <c r="K14" s="10">
        <v>3.2</v>
      </c>
      <c r="L14" s="11">
        <v>10</v>
      </c>
    </row>
    <row r="15" spans="1:12">
      <c r="A15" s="8">
        <v>13</v>
      </c>
      <c r="B15" s="8">
        <v>4136325</v>
      </c>
      <c r="C15" s="9" t="s">
        <v>35</v>
      </c>
      <c r="D15" s="8">
        <v>70</v>
      </c>
      <c r="E15" s="8">
        <v>90</v>
      </c>
      <c r="F15" s="8">
        <v>96</v>
      </c>
      <c r="G15" s="8" t="s">
        <v>48</v>
      </c>
      <c r="H15" s="8" t="s">
        <v>62</v>
      </c>
      <c r="I15" s="8">
        <v>6.2</v>
      </c>
      <c r="J15" s="8">
        <v>6.5</v>
      </c>
      <c r="K15" s="10">
        <v>3.39</v>
      </c>
      <c r="L15" s="11">
        <v>10</v>
      </c>
    </row>
    <row r="16" spans="1:12">
      <c r="A16" s="8">
        <v>14</v>
      </c>
      <c r="B16" s="8">
        <v>4136328</v>
      </c>
      <c r="C16" s="9" t="s">
        <v>36</v>
      </c>
      <c r="D16" s="8">
        <v>30</v>
      </c>
      <c r="E16" s="8">
        <v>97</v>
      </c>
      <c r="F16" s="8">
        <v>99</v>
      </c>
      <c r="G16" s="8" t="s">
        <v>49</v>
      </c>
      <c r="H16" s="8" t="s">
        <v>63</v>
      </c>
      <c r="I16" s="8">
        <v>6.2</v>
      </c>
      <c r="J16" s="8">
        <v>6.5</v>
      </c>
      <c r="K16" s="10">
        <v>3.39</v>
      </c>
      <c r="L16" s="11">
        <v>10</v>
      </c>
    </row>
    <row r="17" spans="1:12">
      <c r="A17" s="8">
        <v>15</v>
      </c>
      <c r="B17" s="8">
        <v>4136352</v>
      </c>
      <c r="C17" s="9" t="s">
        <v>37</v>
      </c>
      <c r="D17" s="8">
        <v>15</v>
      </c>
      <c r="E17" s="8">
        <v>100</v>
      </c>
      <c r="F17" s="8">
        <v>101</v>
      </c>
      <c r="G17" s="8" t="s">
        <v>50</v>
      </c>
      <c r="H17" s="8" t="s">
        <v>64</v>
      </c>
      <c r="I17" s="8">
        <v>5</v>
      </c>
      <c r="J17" s="8">
        <v>5.3</v>
      </c>
      <c r="K17" s="10">
        <v>3.2</v>
      </c>
      <c r="L17" s="11">
        <v>10</v>
      </c>
    </row>
    <row r="18" spans="1:12">
      <c r="A18" s="8">
        <v>16</v>
      </c>
      <c r="B18" s="8">
        <v>4359423</v>
      </c>
      <c r="C18" s="9" t="s">
        <v>3</v>
      </c>
      <c r="D18" s="8">
        <v>50</v>
      </c>
      <c r="E18" s="8">
        <v>102</v>
      </c>
      <c r="F18" s="8">
        <v>106</v>
      </c>
      <c r="G18" s="8" t="s">
        <v>51</v>
      </c>
      <c r="H18" s="8" t="s">
        <v>65</v>
      </c>
      <c r="I18" s="8">
        <v>5.2</v>
      </c>
      <c r="J18" s="8">
        <v>5.5</v>
      </c>
      <c r="K18" s="10">
        <v>3</v>
      </c>
      <c r="L18" s="11">
        <v>10</v>
      </c>
    </row>
  </sheetData>
  <mergeCells count="1">
    <mergeCell ref="A1:L1"/>
  </mergeCells>
  <phoneticPr fontId="1" type="noConversion"/>
  <conditionalFormatting sqref="G2:G18">
    <cfRule type="containsErrors" dxfId="6" priority="2">
      <formula>ISERROR(G2)</formula>
    </cfRule>
    <cfRule type="containsText" dxfId="5" priority="3" operator="containsText" text="#N/A">
      <formula>NOT(ISERROR(SEARCH("#N/A",G2)))</formula>
    </cfRule>
  </conditionalFormatting>
  <conditionalFormatting sqref="H2:L18">
    <cfRule type="containsErrors" dxfId="4" priority="1">
      <formula>ISERROR(H2)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4398E-2CB8-4FDC-9451-6E76F0D05F08}">
  <sheetPr codeName="工作表4"/>
  <dimension ref="A1:L22"/>
  <sheetViews>
    <sheetView workbookViewId="0">
      <selection activeCell="F23" sqref="F23"/>
    </sheetView>
  </sheetViews>
  <sheetFormatPr defaultRowHeight="16.2"/>
  <cols>
    <col min="1" max="1" width="6" bestFit="1" customWidth="1"/>
    <col min="2" max="2" width="10.44140625" bestFit="1" customWidth="1"/>
    <col min="3" max="3" width="11" bestFit="1" customWidth="1"/>
    <col min="4" max="4" width="10.44140625" bestFit="1" customWidth="1"/>
    <col min="5" max="6" width="8.21875" bestFit="1" customWidth="1"/>
    <col min="7" max="7" width="17.109375" bestFit="1" customWidth="1"/>
    <col min="8" max="8" width="40.109375" bestFit="1" customWidth="1"/>
    <col min="9" max="11" width="6" bestFit="1" customWidth="1"/>
    <col min="12" max="12" width="10.44140625" bestFit="1" customWidth="1"/>
  </cols>
  <sheetData>
    <row r="1" spans="1:12">
      <c r="A1" s="61" t="s">
        <v>7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</row>
    <row r="2" spans="1:12">
      <c r="A2" s="5" t="s">
        <v>8</v>
      </c>
      <c r="B2" s="5" t="s">
        <v>9</v>
      </c>
      <c r="C2" s="5" t="s">
        <v>10</v>
      </c>
      <c r="D2" s="5" t="s">
        <v>11</v>
      </c>
      <c r="E2" s="6" t="s">
        <v>12</v>
      </c>
      <c r="F2" s="6" t="s">
        <v>13</v>
      </c>
      <c r="G2" s="7" t="s">
        <v>14</v>
      </c>
      <c r="H2" s="7" t="s">
        <v>15</v>
      </c>
      <c r="I2" s="7" t="s">
        <v>16</v>
      </c>
      <c r="J2" s="7" t="s">
        <v>17</v>
      </c>
      <c r="K2" s="7" t="s">
        <v>18</v>
      </c>
      <c r="L2" s="7" t="s">
        <v>19</v>
      </c>
    </row>
    <row r="3" spans="1:12">
      <c r="A3" s="8">
        <v>1</v>
      </c>
      <c r="B3" s="8">
        <v>4509456</v>
      </c>
      <c r="C3" s="13" t="s">
        <v>66</v>
      </c>
      <c r="D3" s="8">
        <v>50</v>
      </c>
      <c r="E3" s="8">
        <v>1</v>
      </c>
      <c r="F3" s="8">
        <v>5</v>
      </c>
      <c r="G3" s="8" t="s">
        <v>39</v>
      </c>
      <c r="H3" s="8" t="s">
        <v>52</v>
      </c>
      <c r="I3" s="8">
        <v>6.3</v>
      </c>
      <c r="J3" s="8">
        <v>6.6</v>
      </c>
      <c r="K3" s="10">
        <v>5</v>
      </c>
      <c r="L3" s="11">
        <v>10</v>
      </c>
    </row>
    <row r="4" spans="1:12">
      <c r="A4" s="8">
        <v>2</v>
      </c>
      <c r="B4" s="8">
        <f>B3+45612</f>
        <v>4555068</v>
      </c>
      <c r="C4" s="13" t="s">
        <v>67</v>
      </c>
      <c r="D4" s="8">
        <v>225</v>
      </c>
      <c r="E4" s="8">
        <v>6</v>
      </c>
      <c r="F4" s="8">
        <v>28</v>
      </c>
      <c r="G4" s="8" t="s">
        <v>40</v>
      </c>
      <c r="H4" s="8" t="s">
        <v>53</v>
      </c>
      <c r="I4" s="8">
        <v>5.3</v>
      </c>
      <c r="J4" s="8">
        <v>5.6</v>
      </c>
      <c r="K4" s="10">
        <v>3.56</v>
      </c>
      <c r="L4" s="11">
        <v>10</v>
      </c>
    </row>
    <row r="5" spans="1:12">
      <c r="A5" s="8">
        <v>3</v>
      </c>
      <c r="B5" s="8">
        <f t="shared" ref="B5:B22" si="0">B4+45612</f>
        <v>4600680</v>
      </c>
      <c r="C5" s="14" t="s">
        <v>68</v>
      </c>
      <c r="D5" s="8">
        <v>100</v>
      </c>
      <c r="E5" s="8">
        <v>29</v>
      </c>
      <c r="F5" s="8">
        <v>38</v>
      </c>
      <c r="G5" s="8" t="s">
        <v>41</v>
      </c>
      <c r="H5" s="8" t="s">
        <v>54</v>
      </c>
      <c r="I5" s="8">
        <v>4.9000000000000004</v>
      </c>
      <c r="J5" s="8">
        <v>5.2</v>
      </c>
      <c r="K5" s="10">
        <v>3.47</v>
      </c>
      <c r="L5" s="11">
        <v>10</v>
      </c>
    </row>
    <row r="6" spans="1:12">
      <c r="A6" s="8">
        <v>4</v>
      </c>
      <c r="B6" s="8">
        <f t="shared" si="0"/>
        <v>4646292</v>
      </c>
      <c r="C6" s="14" t="s">
        <v>69</v>
      </c>
      <c r="D6" s="8">
        <v>75</v>
      </c>
      <c r="E6" s="8">
        <v>39</v>
      </c>
      <c r="F6" s="8">
        <v>46</v>
      </c>
      <c r="G6" s="8" t="s">
        <v>42</v>
      </c>
      <c r="H6" s="8" t="s">
        <v>55</v>
      </c>
      <c r="I6" s="8">
        <v>5.3</v>
      </c>
      <c r="J6" s="8">
        <v>5.6</v>
      </c>
      <c r="K6" s="10">
        <v>4.34</v>
      </c>
      <c r="L6" s="11">
        <v>10</v>
      </c>
    </row>
    <row r="7" spans="1:12">
      <c r="A7" s="8">
        <v>5</v>
      </c>
      <c r="B7" s="8">
        <f t="shared" si="0"/>
        <v>4691904</v>
      </c>
      <c r="C7" s="14" t="s">
        <v>70</v>
      </c>
      <c r="D7" s="8">
        <v>100</v>
      </c>
      <c r="E7" s="8">
        <v>47</v>
      </c>
      <c r="F7" s="8">
        <v>56</v>
      </c>
      <c r="G7" s="8" t="s">
        <v>42</v>
      </c>
      <c r="H7" s="8" t="s">
        <v>55</v>
      </c>
      <c r="I7" s="8">
        <v>5.45</v>
      </c>
      <c r="J7" s="8">
        <v>5.75</v>
      </c>
      <c r="K7" s="10">
        <v>4.63</v>
      </c>
      <c r="L7" s="11">
        <v>10</v>
      </c>
    </row>
    <row r="8" spans="1:12">
      <c r="A8" s="8">
        <v>6</v>
      </c>
      <c r="B8" s="8">
        <f t="shared" si="0"/>
        <v>4737516</v>
      </c>
      <c r="C8" s="14" t="s">
        <v>71</v>
      </c>
      <c r="D8" s="8">
        <v>50</v>
      </c>
      <c r="E8" s="8">
        <v>57</v>
      </c>
      <c r="F8" s="8">
        <v>61</v>
      </c>
      <c r="G8" s="8" t="s">
        <v>42</v>
      </c>
      <c r="H8" s="8" t="s">
        <v>56</v>
      </c>
      <c r="I8" s="8">
        <v>5</v>
      </c>
      <c r="J8" s="8">
        <v>5.3</v>
      </c>
      <c r="K8" s="10">
        <v>4.05</v>
      </c>
      <c r="L8" s="11">
        <v>10</v>
      </c>
    </row>
    <row r="9" spans="1:12">
      <c r="A9" s="8">
        <v>7</v>
      </c>
      <c r="B9" s="8">
        <f t="shared" si="0"/>
        <v>4783128</v>
      </c>
      <c r="C9" s="13" t="s">
        <v>72</v>
      </c>
      <c r="D9" s="8">
        <v>150</v>
      </c>
      <c r="E9" s="8">
        <v>62</v>
      </c>
      <c r="F9" s="8">
        <v>76</v>
      </c>
      <c r="G9" s="8" t="s">
        <v>43</v>
      </c>
      <c r="H9" s="8" t="s">
        <v>57</v>
      </c>
      <c r="I9" s="8">
        <v>6.2</v>
      </c>
      <c r="J9" s="8">
        <v>6.5</v>
      </c>
      <c r="K9" s="10">
        <v>3.39</v>
      </c>
      <c r="L9" s="11">
        <v>10</v>
      </c>
    </row>
    <row r="10" spans="1:12">
      <c r="A10" s="8">
        <v>8</v>
      </c>
      <c r="B10" s="8">
        <f t="shared" si="0"/>
        <v>4828740</v>
      </c>
      <c r="C10" s="14" t="s">
        <v>73</v>
      </c>
      <c r="D10" s="8">
        <v>30</v>
      </c>
      <c r="E10" s="8">
        <v>77</v>
      </c>
      <c r="F10" s="8">
        <v>79</v>
      </c>
      <c r="G10" s="8" t="s">
        <v>44</v>
      </c>
      <c r="H10" s="8" t="s">
        <v>58</v>
      </c>
      <c r="I10" s="8">
        <v>4.5</v>
      </c>
      <c r="J10" s="8">
        <v>4.8</v>
      </c>
      <c r="K10" s="10">
        <v>3.1</v>
      </c>
      <c r="L10" s="11">
        <v>10</v>
      </c>
    </row>
    <row r="11" spans="1:12">
      <c r="A11" s="8">
        <v>9</v>
      </c>
      <c r="B11" s="8">
        <f t="shared" si="0"/>
        <v>4874352</v>
      </c>
      <c r="C11" s="14" t="s">
        <v>74</v>
      </c>
      <c r="D11" s="8">
        <v>10</v>
      </c>
      <c r="E11" s="8">
        <v>80</v>
      </c>
      <c r="F11" s="8">
        <v>80</v>
      </c>
      <c r="G11" s="8" t="s">
        <v>45</v>
      </c>
      <c r="H11" s="8" t="s">
        <v>59</v>
      </c>
      <c r="I11" s="8">
        <v>4.5</v>
      </c>
      <c r="J11" s="8">
        <v>4.8</v>
      </c>
      <c r="K11" s="10">
        <v>3.1</v>
      </c>
      <c r="L11" s="11">
        <v>10</v>
      </c>
    </row>
    <row r="12" spans="1:12">
      <c r="A12" s="8">
        <v>10</v>
      </c>
      <c r="B12" s="8">
        <f t="shared" si="0"/>
        <v>4919964</v>
      </c>
      <c r="C12" s="14" t="s">
        <v>75</v>
      </c>
      <c r="D12" s="8">
        <v>10</v>
      </c>
      <c r="E12" s="8">
        <v>81</v>
      </c>
      <c r="F12" s="8">
        <v>81</v>
      </c>
      <c r="G12" s="8" t="s">
        <v>46</v>
      </c>
      <c r="H12" s="8" t="s">
        <v>85</v>
      </c>
      <c r="I12" s="8">
        <v>4.7</v>
      </c>
      <c r="J12" s="8">
        <v>5</v>
      </c>
      <c r="K12" s="10">
        <v>2.8</v>
      </c>
      <c r="L12" s="11">
        <v>10</v>
      </c>
    </row>
    <row r="13" spans="1:12">
      <c r="A13" s="8">
        <v>11</v>
      </c>
      <c r="B13" s="8">
        <f t="shared" si="0"/>
        <v>4965576</v>
      </c>
      <c r="C13" s="13" t="s">
        <v>76</v>
      </c>
      <c r="D13" s="8">
        <v>50</v>
      </c>
      <c r="E13" s="8">
        <v>82</v>
      </c>
      <c r="F13" s="8">
        <v>86</v>
      </c>
      <c r="G13" s="8" t="s">
        <v>46</v>
      </c>
      <c r="H13" s="8" t="s">
        <v>86</v>
      </c>
      <c r="I13" s="8">
        <v>4.7</v>
      </c>
      <c r="J13" s="8">
        <v>5</v>
      </c>
      <c r="K13" s="10">
        <v>2.8</v>
      </c>
      <c r="L13" s="11">
        <v>10</v>
      </c>
    </row>
    <row r="14" spans="1:12">
      <c r="A14" s="8">
        <v>12</v>
      </c>
      <c r="B14" s="8">
        <f t="shared" si="0"/>
        <v>5011188</v>
      </c>
      <c r="C14" s="13" t="s">
        <v>77</v>
      </c>
      <c r="D14" s="8">
        <v>30</v>
      </c>
      <c r="E14" s="8">
        <v>87</v>
      </c>
      <c r="F14" s="8">
        <v>89</v>
      </c>
      <c r="G14" s="8" t="s">
        <v>47</v>
      </c>
      <c r="H14" s="8" t="s">
        <v>61</v>
      </c>
      <c r="I14" s="8">
        <v>5</v>
      </c>
      <c r="J14" s="8">
        <v>5.3</v>
      </c>
      <c r="K14" s="10">
        <v>3.2</v>
      </c>
      <c r="L14" s="11">
        <v>10</v>
      </c>
    </row>
    <row r="15" spans="1:12">
      <c r="A15" s="8">
        <v>13</v>
      </c>
      <c r="B15" s="8">
        <f t="shared" si="0"/>
        <v>5056800</v>
      </c>
      <c r="C15" s="13" t="s">
        <v>78</v>
      </c>
      <c r="D15" s="8">
        <v>70</v>
      </c>
      <c r="E15" s="8">
        <v>90</v>
      </c>
      <c r="F15" s="8">
        <v>96</v>
      </c>
      <c r="G15" s="8" t="s">
        <v>48</v>
      </c>
      <c r="H15" s="8" t="s">
        <v>62</v>
      </c>
      <c r="I15" s="8">
        <v>6.2</v>
      </c>
      <c r="J15" s="8">
        <v>6.5</v>
      </c>
      <c r="K15" s="10">
        <v>3.39</v>
      </c>
      <c r="L15" s="11">
        <v>10</v>
      </c>
    </row>
    <row r="16" spans="1:12">
      <c r="A16" s="8">
        <v>14</v>
      </c>
      <c r="B16" s="8">
        <f t="shared" si="0"/>
        <v>5102412</v>
      </c>
      <c r="C16" s="13" t="s">
        <v>79</v>
      </c>
      <c r="D16" s="8">
        <v>30</v>
      </c>
      <c r="E16" s="8">
        <v>97</v>
      </c>
      <c r="F16" s="8">
        <v>99</v>
      </c>
      <c r="G16" s="8" t="s">
        <v>49</v>
      </c>
      <c r="H16" s="8" t="s">
        <v>63</v>
      </c>
      <c r="I16" s="8">
        <v>6.2</v>
      </c>
      <c r="J16" s="8">
        <v>6.5</v>
      </c>
      <c r="K16" s="10">
        <v>3.39</v>
      </c>
      <c r="L16" s="11">
        <v>10</v>
      </c>
    </row>
    <row r="17" spans="1:12">
      <c r="A17" s="8">
        <v>15</v>
      </c>
      <c r="B17" s="8">
        <f t="shared" si="0"/>
        <v>5148024</v>
      </c>
      <c r="C17" s="13" t="s">
        <v>80</v>
      </c>
      <c r="D17" s="8">
        <v>15</v>
      </c>
      <c r="E17" s="8">
        <v>100</v>
      </c>
      <c r="F17" s="8">
        <v>101</v>
      </c>
      <c r="G17" s="8" t="s">
        <v>50</v>
      </c>
      <c r="H17" s="8" t="s">
        <v>64</v>
      </c>
      <c r="I17" s="8">
        <v>5</v>
      </c>
      <c r="J17" s="8">
        <v>5.3</v>
      </c>
      <c r="K17" s="10">
        <v>3.2</v>
      </c>
      <c r="L17" s="11">
        <v>10</v>
      </c>
    </row>
    <row r="18" spans="1:12">
      <c r="A18" s="8">
        <v>16</v>
      </c>
      <c r="B18" s="8">
        <f t="shared" si="0"/>
        <v>5193636</v>
      </c>
      <c r="C18" s="13" t="s">
        <v>81</v>
      </c>
      <c r="D18" s="8">
        <v>50</v>
      </c>
      <c r="E18" s="8">
        <v>102</v>
      </c>
      <c r="F18" s="8">
        <v>106</v>
      </c>
      <c r="G18" s="8" t="s">
        <v>51</v>
      </c>
      <c r="H18" s="8" t="s">
        <v>65</v>
      </c>
      <c r="I18" s="8">
        <v>5.2</v>
      </c>
      <c r="J18" s="8">
        <v>5.5</v>
      </c>
      <c r="K18" s="10">
        <v>3</v>
      </c>
      <c r="L18" s="11">
        <v>10</v>
      </c>
    </row>
    <row r="19" spans="1:12">
      <c r="A19" s="8">
        <v>17</v>
      </c>
      <c r="B19" s="8">
        <f t="shared" si="0"/>
        <v>5239248</v>
      </c>
      <c r="C19" s="14" t="s">
        <v>75</v>
      </c>
      <c r="D19" s="8">
        <v>40</v>
      </c>
      <c r="E19" s="8">
        <v>107</v>
      </c>
      <c r="F19" s="8">
        <v>110</v>
      </c>
      <c r="G19" s="8" t="s">
        <v>46</v>
      </c>
      <c r="H19" s="8" t="s">
        <v>87</v>
      </c>
      <c r="I19" s="8">
        <v>4.7</v>
      </c>
      <c r="J19" s="8">
        <v>5</v>
      </c>
      <c r="K19" s="10">
        <v>2.8</v>
      </c>
      <c r="L19" s="11">
        <v>10</v>
      </c>
    </row>
    <row r="20" spans="1:12">
      <c r="A20" s="8">
        <v>18</v>
      </c>
      <c r="B20" s="8">
        <f t="shared" si="0"/>
        <v>5284860</v>
      </c>
      <c r="C20" s="13" t="s">
        <v>76</v>
      </c>
      <c r="D20" s="8">
        <v>15</v>
      </c>
      <c r="E20" s="8">
        <v>111</v>
      </c>
      <c r="F20" s="8">
        <v>112</v>
      </c>
      <c r="G20" s="8" t="s">
        <v>46</v>
      </c>
      <c r="H20" s="8" t="s">
        <v>60</v>
      </c>
      <c r="I20" s="8">
        <v>4.7</v>
      </c>
      <c r="J20" s="8">
        <v>5</v>
      </c>
      <c r="K20" s="10">
        <v>2.8</v>
      </c>
      <c r="L20" s="11">
        <v>10</v>
      </c>
    </row>
    <row r="21" spans="1:12">
      <c r="A21" s="8">
        <v>19</v>
      </c>
      <c r="B21" s="8">
        <f t="shared" si="0"/>
        <v>5330472</v>
      </c>
      <c r="C21" s="13" t="s">
        <v>77</v>
      </c>
      <c r="D21" s="8">
        <v>20</v>
      </c>
      <c r="E21" s="8">
        <v>113</v>
      </c>
      <c r="F21" s="8">
        <v>114</v>
      </c>
      <c r="G21" s="8" t="s">
        <v>47</v>
      </c>
      <c r="H21" s="8" t="s">
        <v>61</v>
      </c>
      <c r="I21" s="8">
        <v>5</v>
      </c>
      <c r="J21" s="8">
        <v>5.3</v>
      </c>
      <c r="K21" s="10">
        <v>3.2</v>
      </c>
      <c r="L21" s="11">
        <v>10</v>
      </c>
    </row>
    <row r="22" spans="1:12">
      <c r="A22" s="8">
        <v>20</v>
      </c>
      <c r="B22" s="8">
        <f t="shared" si="0"/>
        <v>5376084</v>
      </c>
      <c r="C22" s="13" t="s">
        <v>78</v>
      </c>
      <c r="D22" s="8">
        <v>30</v>
      </c>
      <c r="E22" s="8">
        <v>115</v>
      </c>
      <c r="F22" s="8">
        <v>117</v>
      </c>
      <c r="G22" s="8" t="s">
        <v>48</v>
      </c>
      <c r="H22" s="8" t="s">
        <v>62</v>
      </c>
      <c r="I22" s="8">
        <v>6.2</v>
      </c>
      <c r="J22" s="8">
        <v>6.5</v>
      </c>
      <c r="K22" s="10">
        <v>3.39</v>
      </c>
      <c r="L22" s="11">
        <v>10</v>
      </c>
    </row>
  </sheetData>
  <mergeCells count="1">
    <mergeCell ref="A1:L1"/>
  </mergeCells>
  <phoneticPr fontId="1" type="noConversion"/>
  <conditionalFormatting sqref="G2:G22">
    <cfRule type="containsErrors" dxfId="3" priority="3">
      <formula>ISERROR(G2)</formula>
    </cfRule>
    <cfRule type="containsText" dxfId="2" priority="4" operator="containsText" text="#N/A">
      <formula>NOT(ISERROR(SEARCH("#N/A",G2)))</formula>
    </cfRule>
  </conditionalFormatting>
  <conditionalFormatting sqref="H2:L18">
    <cfRule type="containsErrors" dxfId="1" priority="2">
      <formula>ISERROR(H2)</formula>
    </cfRule>
  </conditionalFormatting>
  <conditionalFormatting sqref="H19:L22">
    <cfRule type="containsErrors" dxfId="0" priority="1">
      <formula>ISERROR(H19)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Mark_Final</vt:lpstr>
      <vt:lpstr>Mark</vt:lpstr>
      <vt:lpstr>Packing_List</vt:lpstr>
      <vt:lpstr>Packing_List2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劉驊維</dc:creator>
  <cp:lastModifiedBy>劉驊維</cp:lastModifiedBy>
  <cp:lastPrinted>2023-07-14T07:48:55Z</cp:lastPrinted>
  <dcterms:created xsi:type="dcterms:W3CDTF">2023-07-09T16:10:58Z</dcterms:created>
  <dcterms:modified xsi:type="dcterms:W3CDTF">2023-07-14T08:41:34Z</dcterms:modified>
</cp:coreProperties>
</file>